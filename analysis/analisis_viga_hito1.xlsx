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133b81f9a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ros" sheetId="1" r:id="R73608c98902e4c3a"/>
    <x:sheet xmlns:r="http://schemas.openxmlformats.org/officeDocument/2006/relationships" name="Analisis" sheetId="2" r:id="Rab1c012eb2be4a44"/>
    <x:sheet xmlns:r="http://schemas.openxmlformats.org/officeDocument/2006/relationships" name="Verificacion" sheetId="3" r:id="Rda6aaf3f927d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9ba705bbe343e8" /><Relationship Type="http://schemas.openxmlformats.org/officeDocument/2006/relationships/theme" Target="/xl/theme/theme1.xml" Id="R8d1e94623326484a" /><Relationship Type="http://schemas.openxmlformats.org/officeDocument/2006/relationships/sharedStrings" Target="/xl/sharedStrings.xml" Id="Rbe3b341b28e74909" /><Relationship Type="http://schemas.openxmlformats.org/officeDocument/2006/relationships/worksheet" Target="/xl/worksheets/sheet1.xml" Id="R73608c98902e4c3a" /><Relationship Type="http://schemas.openxmlformats.org/officeDocument/2006/relationships/worksheet" Target="/xl/worksheets/sheet2.xml" Id="Rab1c012eb2be4a44" /><Relationship Type="http://schemas.openxmlformats.org/officeDocument/2006/relationships/worksheet" Target="/xl/worksheets/sheet3.xml" Id="Rda6aaf3f927d46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cb99de3e4c4d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Carga vs deflexión: medida y teórica</a:t>
            </a:r>
          </a:p>
        </c:rich>
      </c:tx>
    </c:title>
    <c:plotArea>
      <c:lineChart>
        <c:grouping val="standard"/>
        <c:ser>
          <c:idx val="0"/>
          <c:order val="0"/>
          <c:tx>
            <c:v>Deflexión medida</c:v>
          </c:tx>
          <c:marker>
            <c:symbol val="none"/>
          </c:marker>
          <c:cat>
            <c:strRef>
              <c:f>'Analisis'!$A$4:$A$12</c:f>
              <c:strCache>
                <c:ptCount val="0"/>
              </c:strCache>
            </c:strRef>
          </c:cat>
          <c:val>
            <c:numRef>
              <c:f>'Analisis'!$B$4:$B$12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Deflexión teórica</c:v>
          </c:tx>
          <c:marker>
            <c:symbol val="none"/>
          </c:marker>
          <c:cat>
            <c:strRef>
              <c:f>'Analisis'!$A$4:$A$12</c:f>
              <c:strCache>
                <c:ptCount val="0"/>
              </c:strCache>
            </c:strRef>
          </c:cat>
          <c:val>
            <c:numRef>
              <c:f>'Analisis'!$C$4:$C$12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cb99de3e4c4d7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b8d18d3b143475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6" t="str">
        <x:v>Hito 1 — Parámetros y conversiones</x:v>
      </x:c>
      <x:c r="B1" s="16"/>
      <x:c r="C1" s="16"/>
      <x:c r="D1" s="16"/>
      <x:c r="E1" s="17"/>
    </x:row>
    <x:row r="2">
      <x:c r="A2" s="17"/>
      <x:c r="B2" s="17"/>
      <x:c r="C2" s="17"/>
      <x:c r="D2" s="17"/>
      <x:c r="E2" s="17"/>
    </x:row>
    <x:row r="3">
      <x:c r="A3" s="18" t="str">
        <x:v>Parámetro</x:v>
      </x:c>
      <x:c r="B3" s="18" t="str">
        <x:v>Valor original</x:v>
      </x:c>
      <x:c r="C3" s="18" t="str">
        <x:v>Unidad original</x:v>
      </x:c>
      <x:c r="D3" s="18" t="str">
        <x:v>Valor de cálculo</x:v>
      </x:c>
      <x:c r="E3" s="17" t="str">
        <x:v>Unidad de cálculo</x:v>
      </x:c>
    </x:row>
    <x:row r="4">
      <x:c r="A4" s="17" t="str">
        <x:v>Luz L</x:v>
      </x:c>
      <x:c r="B4" s="28" t="n">
        <x:v>4</x:v>
      </x:c>
      <x:c r="C4" s="28" t="str">
        <x:v>m</x:v>
      </x:c>
      <x:c r="D4" s="28" t="n">
        <x:f>B4*1000</x:f>
        <x:v>4000</x:v>
      </x:c>
      <x:c r="E4" s="17" t="str">
        <x:v>mm</x:v>
      </x:c>
    </x:row>
    <x:row r="5">
      <x:c r="A5" s="17" t="str">
        <x:v>Ancho b</x:v>
      </x:c>
      <x:c r="B5" s="28" t="n">
        <x:v>0.2</x:v>
      </x:c>
      <x:c r="C5" s="28" t="str">
        <x:v>m</x:v>
      </x:c>
      <x:c r="D5" s="28" t="n">
        <x:f>B5*1000</x:f>
        <x:v>200</x:v>
      </x:c>
      <x:c r="E5" s="17" t="str">
        <x:v>mm</x:v>
      </x:c>
    </x:row>
    <x:row r="6">
      <x:c r="A6" s="17" t="str">
        <x:v>Altura h</x:v>
      </x:c>
      <x:c r="B6" s="28" t="n">
        <x:v>0.4</x:v>
      </x:c>
      <x:c r="C6" s="28" t="str">
        <x:v>m</x:v>
      </x:c>
      <x:c r="D6" s="28" t="n">
        <x:f>B6*1000</x:f>
        <x:v>400</x:v>
      </x:c>
      <x:c r="E6" s="17" t="str">
        <x:v>mm</x:v>
      </x:c>
    </x:row>
    <x:row r="7">
      <x:c r="A7" s="17" t="str">
        <x:v>Módulo E</x:v>
      </x:c>
      <x:c r="B7" s="28" t="n">
        <x:v>25</x:v>
      </x:c>
      <x:c r="C7" s="28" t="str">
        <x:v>GPa</x:v>
      </x:c>
      <x:c r="D7" s="28" t="n">
        <x:f>B7*1000</x:f>
        <x:v>25000</x:v>
      </x:c>
      <x:c r="E7" s="17" t="str">
        <x:v>MPa</x:v>
      </x:c>
    </x:row>
    <x:row r="8">
      <x:c r="A8" s="17"/>
      <x:c r="B8" s="17"/>
      <x:c r="C8" s="17"/>
      <x:c r="D8" s="17"/>
      <x:c r="E8" s="17"/>
    </x:row>
    <x:row r="9">
      <x:c r="A9" s="19" t="str">
        <x:v>Magnitud</x:v>
      </x:c>
      <x:c r="B9" s="19" t="str">
        <x:v>Fórmula/valor</x:v>
      </x:c>
      <x:c r="C9" s="17"/>
      <x:c r="D9" s="17"/>
      <x:c r="E9" s="17"/>
    </x:row>
    <x:row r="10">
      <x:c r="A10" s="17" t="str">
        <x:v>Segundo momento de área I</x:v>
      </x:c>
      <x:c r="B10" s="17" t="n">
        <x:f>D5*D6^3/12</x:f>
        <x:v>1066666666.6666666</x:v>
      </x:c>
      <x:c r="C10" s="17"/>
      <x:c r="D10" s="17"/>
      <x:c r="E10" s="17"/>
    </x:row>
    <x:row r="11">
      <x:c r="A11" s="17" t="str">
        <x:v>I (resultado)</x:v>
      </x:c>
      <x:c r="B11" s="26" t="n">
        <x:f>D5*D6^3/12</x:f>
        <x:v>1066666666.6666666</x:v>
      </x:c>
      <x:c r="C11" s="17"/>
      <x:c r="D11" s="17"/>
      <x:c r="E11" s="17"/>
    </x:row>
    <x:row r="12">
      <x:c r="A12" s="17" t="str">
        <x:v>Configuración</x:v>
      </x:c>
      <x:c r="B12" s="17" t="str">
        <x:v>Viga simplemente apoyada con carga puntual centrada</x:v>
      </x:c>
      <x:c r="C12" s="17"/>
      <x:c r="D12" s="17"/>
      <x:c r="E12" s="17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3" hidden="0" customWidth="1"/>
  </x:cols>
  <x:sheetData>
    <x:row r="1">
      <x:c r="A1" s="24" t="str">
        <x:v>Hito 1 — Comparación de deflexión medida y teórica</x:v>
      </x:c>
      <x:c r="B1" s="24"/>
      <x:c r="C1" s="24"/>
      <x:c r="D1" s="24"/>
      <x:c r="E1" s="24"/>
      <x:c r="F1" s="24"/>
    </x:row>
    <x:row r="2">
      <x:c r="A2" s="17"/>
      <x:c r="B2" s="17"/>
      <x:c r="C2" s="17"/>
      <x:c r="D2" s="17"/>
      <x:c r="E2" s="17"/>
      <x:c r="F2" s="17"/>
    </x:row>
    <x:row r="3">
      <x:c r="A3" s="18" t="str">
        <x:v>Carga</x:v>
      </x:c>
      <x:c r="B3" s="18" t="str">
        <x:v>Deflexión medida</x:v>
      </x:c>
      <x:c r="C3" s="18" t="str">
        <x:v>Deflexión teórica</x:v>
      </x:c>
      <x:c r="D3" s="18" t="str">
        <x:v>Diferencia</x:v>
      </x:c>
      <x:c r="E3" s="18" t="str">
        <x:v>Error relativo</x:v>
      </x:c>
      <x:c r="F3" s="18" t="str">
        <x:v>Observación</x:v>
      </x:c>
    </x:row>
    <x:row r="4">
      <x:c r="A4" s="26" t="n">
        <x:v>0</x:v>
      </x:c>
      <x:c r="B4" s="26" t="n">
        <x:v>0</x:v>
      </x:c>
      <x:c r="C4" s="26" t="n">
        <x:f>A4*1000*Parametros!$D$4^3/(48*Parametros!$D$7*Parametros!$B$11)</x:f>
        <x:v>0</x:v>
      </x:c>
      <x:c r="D4" s="26" t="n">
        <x:f>B4-C4</x:f>
        <x:v>0</x:v>
      </x:c>
      <x:c r="E4" s="26" t="n">
        <x:f>IF(C4=0,0,ABS(D4)/C4*100)</x:f>
        <x:v>0</x:v>
      </x:c>
      <x:c r="F4" s="17" t="str">
        <x:v>Punto de referencia (P=0)</x:v>
      </x:c>
    </x:row>
    <x:row r="5">
      <x:c r="A5" s="26" t="n">
        <x:v>5</x:v>
      </x:c>
      <x:c r="B5" s="26" t="n">
        <x:v>0.26</x:v>
      </x:c>
      <x:c r="C5" s="26" t="n">
        <x:f>A5*1000*Parametros!$D$4^3/(48*Parametros!$D$7*Parametros!$B$11)</x:f>
        <x:v>0.25</x:v>
      </x:c>
      <x:c r="D5" s="26" t="n">
        <x:f>B5-C5</x:f>
        <x:v>0.010000000000000009</x:v>
      </x:c>
      <x:c r="E5" s="26" t="n">
        <x:f>IF(C5=0,0,ABS(D5)/C5*100)</x:f>
        <x:v>4.0000000000000036</x:v>
      </x:c>
      <x:c r="F5" s="17" t="str"/>
    </x:row>
    <x:row r="6">
      <x:c r="A6" s="26" t="n">
        <x:v>10</x:v>
      </x:c>
      <x:c r="B6" s="26" t="n">
        <x:v>0.5</x:v>
      </x:c>
      <x:c r="C6" s="26" t="n">
        <x:f>A6*1000*Parametros!$D$4^3/(48*Parametros!$D$7*Parametros!$B$11)</x:f>
        <x:v>0.5</x:v>
      </x:c>
      <x:c r="D6" s="26" t="n">
        <x:f>B6-C6</x:f>
        <x:v>0</x:v>
      </x:c>
      <x:c r="E6" s="26" t="n">
        <x:f>IF(C6=0,0,ABS(D6)/C6*100)</x:f>
        <x:v>0</x:v>
      </x:c>
      <x:c r="F6" s="17" t="str"/>
    </x:row>
    <x:row r="7">
      <x:c r="A7" s="26" t="n">
        <x:v>15</x:v>
      </x:c>
      <x:c r="B7" s="26" t="n">
        <x:v>0.76</x:v>
      </x:c>
      <x:c r="C7" s="26" t="n">
        <x:f>A7*1000*Parametros!$D$4^3/(48*Parametros!$D$7*Parametros!$B$11)</x:f>
        <x:v>0.75</x:v>
      </x:c>
      <x:c r="D7" s="26" t="n">
        <x:f>B7-C7</x:f>
        <x:v>0.010000000000000009</x:v>
      </x:c>
      <x:c r="E7" s="26" t="n">
        <x:f>IF(C7=0,0,ABS(D7)/C7*100)</x:f>
        <x:v>1.3333333333333344</x:v>
      </x:c>
      <x:c r="F7" s="17" t="str"/>
    </x:row>
    <x:row r="8">
      <x:c r="A8" s="26" t="n">
        <x:v>20</x:v>
      </x:c>
      <x:c r="B8" s="26" t="n">
        <x:v>1.01</x:v>
      </x:c>
      <x:c r="C8" s="26" t="n">
        <x:f>A8*1000*Parametros!$D$4^3/(48*Parametros!$D$7*Parametros!$B$11)</x:f>
        <x:v>1</x:v>
      </x:c>
      <x:c r="D8" s="26" t="n">
        <x:f>B8-C8</x:f>
        <x:v>0.010000000000000009</x:v>
      </x:c>
      <x:c r="E8" s="26" t="n">
        <x:f>IF(C8=0,0,ABS(D8)/C8*100)</x:f>
        <x:v>1.0000000000000009</x:v>
      </x:c>
      <x:c r="F8" s="17" t="str"/>
    </x:row>
    <x:row r="9">
      <x:c r="A9" s="26" t="n">
        <x:v>25</x:v>
      </x:c>
      <x:c r="B9" s="26" t="n">
        <x:v>1.28</x:v>
      </x:c>
      <x:c r="C9" s="26" t="n">
        <x:f>A9*1000*Parametros!$D$4^3/(48*Parametros!$D$7*Parametros!$B$11)</x:f>
        <x:v>1.25</x:v>
      </x:c>
      <x:c r="D9" s="26" t="n">
        <x:f>B9-C9</x:f>
        <x:v>0.030000000000000027</x:v>
      </x:c>
      <x:c r="E9" s="26" t="n">
        <x:f>IF(C9=0,0,ABS(D9)/C9*100)</x:f>
        <x:v>2.400000000000002</x:v>
      </x:c>
      <x:c r="F9" s="17" t="str"/>
    </x:row>
    <x:row r="10">
      <x:c r="A10" s="26" t="n">
        <x:v>30</x:v>
      </x:c>
      <x:c r="B10" s="26" t="n">
        <x:v>1.54</x:v>
      </x:c>
      <x:c r="C10" s="26" t="n">
        <x:f>A10*1000*Parametros!$D$4^3/(48*Parametros!$D$7*Parametros!$B$11)</x:f>
        <x:v>1.5</x:v>
      </x:c>
      <x:c r="D10" s="26" t="n">
        <x:f>B10-C10</x:f>
        <x:v>0.040000000000000036</x:v>
      </x:c>
      <x:c r="E10" s="26" t="n">
        <x:f>IF(C10=0,0,ABS(D10)/C10*100)</x:f>
        <x:v>2.6666666666666687</x:v>
      </x:c>
      <x:c r="F10" s="17" t="str"/>
    </x:row>
    <x:row r="11">
      <x:c r="A11" s="26" t="n">
        <x:v>35</x:v>
      </x:c>
      <x:c r="B11" s="26" t="n">
        <x:v>1.77</x:v>
      </x:c>
      <x:c r="C11" s="26" t="n">
        <x:f>A11*1000*Parametros!$D$4^3/(48*Parametros!$D$7*Parametros!$B$11)</x:f>
        <x:v>1.75</x:v>
      </x:c>
      <x:c r="D11" s="26" t="n">
        <x:f>B11-C11</x:f>
        <x:v>0.020000000000000018</x:v>
      </x:c>
      <x:c r="E11" s="26" t="n">
        <x:f>IF(C11=0,0,ABS(D11)/C11*100)</x:f>
        <x:v>1.142857142857144</x:v>
      </x:c>
      <x:c r="F11" s="17" t="str"/>
    </x:row>
    <x:row r="12">
      <x:c r="A12" s="26" t="n">
        <x:v>40</x:v>
      </x:c>
      <x:c r="B12" s="26" t="n">
        <x:v>2.05</x:v>
      </x:c>
      <x:c r="C12" s="26" t="n">
        <x:f>A12*1000*Parametros!$D$4^3/(48*Parametros!$D$7*Parametros!$B$11)</x:f>
        <x:v>2</x:v>
      </x:c>
      <x:c r="D12" s="26" t="n">
        <x:f>B12-C12</x:f>
        <x:v>0.04999999999999982</x:v>
      </x:c>
      <x:c r="E12" s="26" t="n">
        <x:f>IF(C12=0,0,ABS(D12)/C12*100)</x:f>
        <x:v>2.499999999999991</x:v>
      </x:c>
      <x:c r="F12" s="17" t="str"/>
    </x:row>
    <x:row r="13">
      <x:c r="A13" s="17"/>
      <x:c r="B13" s="17"/>
      <x:c r="C13" s="17"/>
      <x:c r="D13" s="17"/>
      <x:c r="E13" s="17"/>
      <x:c r="F13" s="17"/>
    </x:row>
    <x:row r="14">
      <x:c r="A14" s="19" t="str">
        <x:v>Resumen</x:v>
      </x:c>
      <x:c r="B14" s="19" t="str">
        <x:v>Valor</x:v>
      </x:c>
      <x:c r="C14" s="17"/>
      <x:c r="D14" s="17"/>
      <x:c r="E14" s="17"/>
      <x:c r="F14" s="17"/>
    </x:row>
    <x:row r="15">
      <x:c r="A15" s="17" t="str">
        <x:v>I (mm^4)</x:v>
      </x:c>
      <x:c r="B15" s="17" t="n">
        <x:f>Parametros!B11</x:f>
        <x:v>1066666666.6666666</x:v>
      </x:c>
      <x:c r="C15" s="17"/>
      <x:c r="D15" s="17"/>
      <x:c r="E15" s="17"/>
      <x:c r="F15" s="17"/>
    </x:row>
    <x:row r="16">
      <x:c r="A16" s="17" t="str">
        <x:v>Error máximo relativo (%)</x:v>
      </x:c>
      <x:c r="B16" s="17" t="n">
        <x:f>MAX(E5:E12)</x:f>
        <x:v>4.0000000000000036</x:v>
      </x:c>
      <x:c r="C16" s="17"/>
      <x:c r="D16" s="17"/>
      <x:c r="E16" s="17"/>
      <x:c r="F16" s="17"/>
    </x:row>
    <x:row r="17">
      <x:c r="A17" s="17" t="str">
        <x:v>Deflexión teórica a 40 kN (mm)</x:v>
      </x:c>
      <x:c r="B17" s="17" t="n">
        <x:f>C12</x:f>
        <x:v>2</x:v>
      </x:c>
      <x:c r="C17" s="17"/>
      <x:c r="D17" s="17"/>
      <x:c r="E17" s="17"/>
      <x:c r="F17" s="17"/>
    </x:row>
    <x:row r="18">
      <x:c r="A18" s="17" t="str">
        <x:v>Deflexión medida a 40 kN (mm)</x:v>
      </x:c>
      <x:c r="B18" s="17" t="n">
        <x:f>B12</x:f>
        <x:v>2.05</x:v>
      </x:c>
      <x:c r="C18" s="17"/>
      <x:c r="D18" s="17"/>
      <x:c r="E18" s="17"/>
      <x:c r="F18" s="17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b8d18d3b1434750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24" t="str">
        <x:v>Verificación adicional</x:v>
      </x:c>
      <x:c r="B1" s="24"/>
      <x:c r="C1" s="24"/>
      <x:c r="D1" s="24"/>
    </x:row>
    <x:row r="2">
      <x:c r="A2" s="17"/>
      <x:c r="B2" s="17"/>
      <x:c r="C2" s="17"/>
      <x:c r="D2" s="17"/>
    </x:row>
    <x:row r="3">
      <x:c r="A3" s="18" t="str">
        <x:v>Verificación</x:v>
      </x:c>
      <x:c r="B3" s="18" t="str">
        <x:v>Resultado calculado</x:v>
      </x:c>
      <x:c r="C3" s="18" t="str">
        <x:v>Resultado de referencia</x:v>
      </x:c>
      <x:c r="D3" s="18" t="str">
        <x:v>Conclusión</x:v>
      </x:c>
    </x:row>
    <x:row r="4">
      <x:c r="A4" s="17" t="str">
        <x:v>Momento de área I</x:v>
      </x:c>
      <x:c r="B4" s="26" t="n">
        <x:f>Parametros!B11</x:f>
        <x:v>1066666666.6666666</x:v>
      </x:c>
      <x:c r="C4" s="26" t="n">
        <x:v>1066666666.6666666</x:v>
      </x:c>
      <x:c r="D4" s="17" t="str">
        <x:f>IF(ABS(B4-C4)&lt;0.01,"Coincide","Revisar")</x:f>
        <x:v>Coincide</x:v>
      </x:c>
    </x:row>
    <x:row r="5">
      <x:c r="A5" s="17" t="str">
        <x:v>Deflexión teórica a 20 kN (mm)</x:v>
      </x:c>
      <x:c r="B5" s="26" t="n">
        <x:f>Analisis!C8</x:f>
        <x:v>1</x:v>
      </x:c>
      <x:c r="C5" s="26" t="n">
        <x:v>1</x:v>
      </x:c>
      <x:c r="D5" s="17" t="str">
        <x:f>IF(ABS(B5-C5)&lt;0.0001,"Coincide","Revisar")</x:f>
        <x:v>Coincide</x:v>
      </x:c>
    </x:row>
    <x:row r="6">
      <x:c r="A6" s="17" t="str">
        <x:v>Deflexión teórica a 40 kN (mm)</x:v>
      </x:c>
      <x:c r="B6" s="26" t="n">
        <x:f>Analisis!C12</x:f>
        <x:v>2</x:v>
      </x:c>
      <x:c r="C6" s="26" t="n">
        <x:v>2</x:v>
      </x:c>
      <x:c r="D6" s="17" t="str">
        <x:f>IF(ABS(B6-C6)&lt;0.0001,"Coincide","Revisar")</x:f>
        <x:v>Coincide</x:v>
      </x:c>
    </x:row>
    <x:row r="7">
      <x:c r="A7" s="17"/>
      <x:c r="B7" s="17"/>
      <x:c r="C7" s="17"/>
      <x:c r="D7" s="17"/>
    </x:row>
    <x:row r="8">
      <x:c r="A8" s="17" t="str">
        <x:v>Criterio</x:v>
      </x:c>
      <x:c r="B8" s="17" t="str">
        <x:v>Descripción</x:v>
      </x:c>
      <x:c r="C8" s="17"/>
      <x:c r="D8" s="17"/>
    </x:row>
    <x:row r="9">
      <x:c r="A9" s="17" t="str">
        <x:v>Verificación adicional</x:v>
      </x:c>
      <x:c r="B9" s="17" t="str">
        <x:v>Se compara el resultado de la fórmula de deflexión con valores calculados independientemente para puntos de carga de referencia.</x:v>
      </x:c>
      <x:c r="C9" s="17"/>
      <x:c r="D9" s="17"/>
    </x:row>
    <x:row r="10">
      <x:c r="A10" s="17" t="str">
        <x:v>Interpretación</x:v>
      </x:c>
      <x:c r="B10" s="17" t="str">
        <x:v>La comparación permite detectar errores en la fórmula, unidades o referencias de celdas antes de usar la figura en el informe.</x:v>
      </x:c>
      <x:c r="C10" s="17"/>
      <x:c r="D10" s="17"/>
    </x:row>
  </x:sheetData>
  <x:mergeCells>
    <x:mergeCell ref="A1:D1"/>
  </x:mergeCells>
  <x:pageMargins left="0.7" right="0.7" top="0.75" bottom="0.75" header="0.3" footer="0.3"/>
</x:worksheet>
</file>